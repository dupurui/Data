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45B71D39-1131-4D89-8D18-6A8D61A8A457}" xr6:coauthVersionLast="47" xr6:coauthVersionMax="47" xr10:uidLastSave="{00000000-0000-0000-0000-000000000000}"/>
  <bookViews>
    <workbookView xWindow="-120" yWindow="-120" windowWidth="29040" windowHeight="16440" xr2:uid="{5E051CB7-7D83-4C49-8EB1-7FE7ED6EB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8" i="1" l="1"/>
  <c r="D39" i="1"/>
  <c r="D40" i="1"/>
  <c r="D41" i="1"/>
  <c r="D42" i="1"/>
  <c r="D37" i="1"/>
  <c r="H4" i="1" l="1"/>
  <c r="H5" i="1"/>
  <c r="H6" i="1"/>
  <c r="H7" i="1"/>
  <c r="H8" i="1"/>
  <c r="H9" i="1"/>
  <c r="H10" i="1"/>
  <c r="H11" i="1"/>
  <c r="H12" i="1"/>
  <c r="H13" i="1"/>
  <c r="M12" i="1"/>
  <c r="M8" i="1" l="1"/>
  <c r="M7" i="1"/>
  <c r="M4" i="1"/>
  <c r="M9" i="1"/>
  <c r="M6" i="1"/>
  <c r="M5" i="1"/>
  <c r="M13" i="1"/>
  <c r="M11" i="1"/>
  <c r="M10" i="1"/>
</calcChain>
</file>

<file path=xl/sharedStrings.xml><?xml version="1.0" encoding="utf-8"?>
<sst xmlns="http://schemas.openxmlformats.org/spreadsheetml/2006/main" count="63" uniqueCount="45">
  <si>
    <t>reactant</t>
    <phoneticPr fontId="1" type="noConversion"/>
  </si>
  <si>
    <t>TS</t>
    <phoneticPr fontId="1" type="noConversion"/>
  </si>
  <si>
    <t>electronic energy/hartree</t>
    <phoneticPr fontId="1" type="noConversion"/>
  </si>
  <si>
    <t>kJ/mol</t>
    <phoneticPr fontId="1" type="noConversion"/>
  </si>
  <si>
    <t>190°</t>
  </si>
  <si>
    <t>150°</t>
    <phoneticPr fontId="1" type="noConversion"/>
  </si>
  <si>
    <t>155°</t>
    <phoneticPr fontId="1" type="noConversion"/>
  </si>
  <si>
    <t>160°</t>
  </si>
  <si>
    <t>165°</t>
  </si>
  <si>
    <t>170°</t>
  </si>
  <si>
    <t>175°</t>
  </si>
  <si>
    <t>195°</t>
  </si>
  <si>
    <t>200°</t>
  </si>
  <si>
    <t>205°</t>
  </si>
  <si>
    <t>210°</t>
  </si>
  <si>
    <t>215°</t>
  </si>
  <si>
    <t>220°</t>
  </si>
  <si>
    <t>225°</t>
  </si>
  <si>
    <t>230°</t>
  </si>
  <si>
    <t>HOMO-LUMO gap</t>
    <phoneticPr fontId="1" type="noConversion"/>
  </si>
  <si>
    <t>Bond Length</t>
    <phoneticPr fontId="1" type="noConversion"/>
  </si>
  <si>
    <t>C7-C40</t>
    <phoneticPr fontId="1" type="noConversion"/>
  </si>
  <si>
    <t>C8-C41</t>
    <phoneticPr fontId="1" type="noConversion"/>
  </si>
  <si>
    <t>Relaxed(187.2°)</t>
    <phoneticPr fontId="1" type="noConversion"/>
  </si>
  <si>
    <t>CCH Angle(°)</t>
    <phoneticPr fontId="1" type="noConversion"/>
  </si>
  <si>
    <t>Mayer bond order</t>
    <phoneticPr fontId="1" type="noConversion"/>
  </si>
  <si>
    <t xml:space="preserve"> </t>
    <phoneticPr fontId="1" type="noConversion"/>
  </si>
  <si>
    <t>TS-HOMO</t>
    <phoneticPr fontId="1" type="noConversion"/>
  </si>
  <si>
    <t>TS-LUMO</t>
    <phoneticPr fontId="1" type="noConversion"/>
  </si>
  <si>
    <t>210°</t>
    <phoneticPr fontId="1" type="noConversion"/>
  </si>
  <si>
    <t>185°</t>
    <phoneticPr fontId="1" type="noConversion"/>
  </si>
  <si>
    <t>Relaxed</t>
    <phoneticPr fontId="1" type="noConversion"/>
  </si>
  <si>
    <t>R</t>
    <phoneticPr fontId="1" type="noConversion"/>
  </si>
  <si>
    <t>Å</t>
    <phoneticPr fontId="1" type="noConversion"/>
  </si>
  <si>
    <t>relaxed</t>
    <phoneticPr fontId="1" type="noConversion"/>
  </si>
  <si>
    <t>fragment(TS)</t>
    <phoneticPr fontId="1" type="noConversion"/>
  </si>
  <si>
    <t>RMSD/Å</t>
    <phoneticPr fontId="1" type="noConversion"/>
  </si>
  <si>
    <t>1-39 (a.u./e)</t>
    <phoneticPr fontId="1" type="noConversion"/>
  </si>
  <si>
    <t>fragment charge(ADCH)/(a.u./e)</t>
    <phoneticPr fontId="1" type="noConversion"/>
  </si>
  <si>
    <t>R-HOMO</t>
    <phoneticPr fontId="1" type="noConversion"/>
  </si>
  <si>
    <t>R-LUMO</t>
    <phoneticPr fontId="1" type="noConversion"/>
  </si>
  <si>
    <t>eV</t>
    <phoneticPr fontId="1" type="noConversion"/>
  </si>
  <si>
    <t>transfer</t>
    <phoneticPr fontId="1" type="noConversion"/>
  </si>
  <si>
    <r>
      <t>Relative Strain Energy(ΔE</t>
    </r>
    <r>
      <rPr>
        <sz val="8"/>
        <color rgb="FF0070C0"/>
        <rFont val="Arial"/>
        <family val="2"/>
      </rPr>
      <t>strain</t>
    </r>
    <r>
      <rPr>
        <sz val="11"/>
        <color rgb="FF0070C0"/>
        <rFont val="Arial"/>
        <family val="2"/>
      </rPr>
      <t>)</t>
    </r>
    <phoneticPr fontId="1" type="noConversion"/>
  </si>
  <si>
    <r>
      <t>Relative Interaction Energy(ΔE</t>
    </r>
    <r>
      <rPr>
        <sz val="8"/>
        <color rgb="FFFF0000"/>
        <rFont val="Arial"/>
        <family val="2"/>
      </rPr>
      <t>int</t>
    </r>
    <r>
      <rPr>
        <sz val="11"/>
        <color rgb="FFFF0000"/>
        <rFont val="Arial"/>
        <family val="2"/>
      </rPr>
      <t xml:space="preserve">)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</si>
</sst>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0.000000_ "/>
    <numFmt numFmtId="178" formatCode="0.000000000000_ "/>
    <numFmt numFmtId="179" formatCode="0.00000"/>
    <numFmt numFmtId="180" formatCode="0.00000_ "/>
    <numFmt numFmtId="181" formatCode="0.000"/>
    <numFmt numFmtId="183" formatCode="0.0000"/>
  </numFmts>
  <fonts count="1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rgb="FF002060"/>
      <name val="Arial"/>
      <family val="2"/>
    </font>
    <font>
      <sz val="11"/>
      <color theme="5" tint="-0.249977111117893"/>
      <name val="Arial"/>
      <family val="2"/>
    </font>
    <font>
      <sz val="11"/>
      <color theme="3" tint="0.249977111117893"/>
      <name val="Arial"/>
      <family val="2"/>
    </font>
    <font>
      <sz val="11"/>
      <color rgb="FF00B050"/>
      <name val="Arial"/>
      <family val="2"/>
    </font>
    <font>
      <sz val="11"/>
      <color rgb="FFC00000"/>
      <name val="Arial"/>
      <family val="2"/>
    </font>
    <font>
      <b/>
      <sz val="11"/>
      <color rgb="FFFF0000"/>
      <name val="Arial"/>
      <family val="2"/>
    </font>
    <font>
      <sz val="11"/>
      <color rgb="FF0070C0"/>
      <name val="Arial"/>
      <family val="2"/>
    </font>
    <font>
      <sz val="8"/>
      <color rgb="FF0070C0"/>
      <name val="Arial"/>
      <family val="2"/>
    </font>
    <font>
      <sz val="8"/>
      <color rgb="FFFF0000"/>
      <name val="Arial"/>
      <family val="2"/>
    </font>
    <font>
      <b/>
      <sz val="11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9" fontId="4" fillId="0" borderId="1" xfId="0" quotePrefix="1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81" fontId="4" fillId="0" borderId="2" xfId="0" applyNumberFormat="1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83" fontId="4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81" fontId="4" fillId="0" borderId="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5" fillId="2" borderId="0" xfId="1" applyFont="1" applyFill="1" applyAlignment="1">
      <alignment horizontal="center" wrapText="1"/>
    </xf>
    <xf numFmtId="2" fontId="3" fillId="0" borderId="2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2">
    <cellStyle name="常规" xfId="0" builtinId="0"/>
    <cellStyle name="常规 2" xfId="1" xr:uid="{CB00F670-1C00-4767-ACCC-097226E713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357244</xdr:colOff>
      <xdr:row>2</xdr:row>
      <xdr:rowOff>0</xdr:rowOff>
    </xdr:from>
    <xdr:ext cx="391811" cy="1819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文本框 9">
              <a:extLst>
                <a:ext uri="{FF2B5EF4-FFF2-40B4-BE49-F238E27FC236}">
                  <a16:creationId xmlns:a16="http://schemas.microsoft.com/office/drawing/2014/main" id="{8DC5DFE3-04E4-22F1-2FD7-15A21CF2FD85}"/>
                </a:ext>
              </a:extLst>
            </xdr:cNvPr>
            <xdr:cNvSpPr txBox="1"/>
          </xdr:nvSpPr>
          <xdr:spPr>
            <a:xfrm>
              <a:off x="10128773" y="459441"/>
              <a:ext cx="391811" cy="1819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CN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m:rPr>
                            <m:sty m:val="p"/>
                          </m:rPr>
                          <a:rPr lang="en-US" altLang="zh-CN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r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∙∙∙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sub>
                      <m:sup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𝑇𝑆</m:t>
                        </m:r>
                      </m:sup>
                    </m:sSubSup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10" name="文本框 9">
              <a:extLst>
                <a:ext uri="{FF2B5EF4-FFF2-40B4-BE49-F238E27FC236}">
                  <a16:creationId xmlns:a16="http://schemas.microsoft.com/office/drawing/2014/main" id="{8DC5DFE3-04E4-22F1-2FD7-15A21CF2FD85}"/>
                </a:ext>
              </a:extLst>
            </xdr:cNvPr>
            <xdr:cNvSpPr txBox="1"/>
          </xdr:nvSpPr>
          <xdr:spPr>
            <a:xfrm>
              <a:off x="10128773" y="459441"/>
              <a:ext cx="391811" cy="1819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US" altLang="zh-CN" sz="1100" i="0">
                  <a:latin typeface="Cambria Math" panose="02040503050406030204" pitchFamily="18" charset="0"/>
                </a:rPr>
                <a:t>〖</a:t>
              </a:r>
              <a:r>
                <a:rPr lang="en-US" altLang="zh-CN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∆r〗_(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𝐶</a:t>
              </a:r>
              <a:r>
                <a:rPr lang="en-US" altLang="zh-CN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∙∙∙𝐶)^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𝑇𝑆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B370-761B-4283-95AA-4071A632AE23}">
  <sheetPr codeName="Sheet1"/>
  <dimension ref="A1:P209"/>
  <sheetViews>
    <sheetView showGridLines="0" tabSelected="1" topLeftCell="A7" zoomScale="70" zoomScaleNormal="70" workbookViewId="0">
      <selection activeCell="H36" sqref="H36"/>
    </sheetView>
  </sheetViews>
  <sheetFormatPr defaultColWidth="0" defaultRowHeight="14.25" zeroHeight="1" x14ac:dyDescent="0.2"/>
  <cols>
    <col min="1" max="1" width="38.375" style="1" customWidth="1"/>
    <col min="2" max="2" width="15" style="1" customWidth="1"/>
    <col min="3" max="3" width="16.375" style="1" customWidth="1"/>
    <col min="4" max="4" width="15.25" style="1" customWidth="1"/>
    <col min="5" max="5" width="16.875" style="1" customWidth="1"/>
    <col min="6" max="6" width="14.75" style="1" customWidth="1"/>
    <col min="7" max="7" width="11.625" style="1" customWidth="1"/>
    <col min="8" max="8" width="14.125" style="1" customWidth="1"/>
    <col min="9" max="9" width="10" style="1" customWidth="1"/>
    <col min="10" max="10" width="9.75" style="1" customWidth="1"/>
    <col min="11" max="11" width="15.75" style="1" customWidth="1"/>
    <col min="12" max="12" width="13.375" style="1" customWidth="1"/>
    <col min="13" max="13" width="15.625" style="1" customWidth="1"/>
    <col min="14" max="14" width="9.5" style="1" customWidth="1"/>
    <col min="15" max="15" width="10.25" style="1" customWidth="1"/>
    <col min="16" max="16" width="15" style="1" customWidth="1"/>
    <col min="17" max="20" width="8.875" style="1" customWidth="1"/>
    <col min="21" max="16384" width="8.875" style="1" hidden="1"/>
  </cols>
  <sheetData>
    <row r="1" spans="1:16" ht="22.15" customHeight="1" x14ac:dyDescent="0.2">
      <c r="B1" s="1" t="s">
        <v>0</v>
      </c>
      <c r="C1" s="1" t="s">
        <v>1</v>
      </c>
      <c r="F1" s="38" t="s">
        <v>20</v>
      </c>
      <c r="G1" s="39"/>
      <c r="I1" s="38" t="s">
        <v>25</v>
      </c>
      <c r="J1" s="39"/>
      <c r="K1" s="1" t="s">
        <v>27</v>
      </c>
      <c r="L1" s="1" t="s">
        <v>28</v>
      </c>
      <c r="M1" s="1" t="s">
        <v>19</v>
      </c>
      <c r="N1" s="1" t="s">
        <v>39</v>
      </c>
      <c r="O1" s="1" t="s">
        <v>40</v>
      </c>
      <c r="P1" s="1" t="s">
        <v>19</v>
      </c>
    </row>
    <row r="2" spans="1:16" x14ac:dyDescent="0.2">
      <c r="A2" s="1" t="s">
        <v>2</v>
      </c>
      <c r="B2" s="8">
        <v>-2682.7885940000001</v>
      </c>
      <c r="C2" s="8">
        <v>-2682.7546038</v>
      </c>
      <c r="D2" s="13"/>
      <c r="F2" s="38" t="s">
        <v>33</v>
      </c>
      <c r="G2" s="39"/>
      <c r="H2" s="2"/>
      <c r="M2" s="1" t="s">
        <v>41</v>
      </c>
    </row>
    <row r="3" spans="1:16" x14ac:dyDescent="0.2">
      <c r="B3" s="8"/>
      <c r="C3" s="14"/>
      <c r="D3" s="15"/>
      <c r="E3" s="1" t="s">
        <v>24</v>
      </c>
      <c r="F3" s="1" t="s">
        <v>21</v>
      </c>
      <c r="G3" s="1" t="s">
        <v>22</v>
      </c>
      <c r="H3" s="2"/>
      <c r="I3" s="1" t="s">
        <v>21</v>
      </c>
      <c r="J3" s="1" t="s">
        <v>22</v>
      </c>
    </row>
    <row r="4" spans="1:16" x14ac:dyDescent="0.2">
      <c r="A4" s="1" t="s">
        <v>5</v>
      </c>
      <c r="B4" s="16">
        <v>-2682.7752489999998</v>
      </c>
      <c r="C4" s="8">
        <v>-2682.7311330900002</v>
      </c>
      <c r="E4" s="1" t="s">
        <v>23</v>
      </c>
      <c r="F4" s="18">
        <v>2.2755800000000002</v>
      </c>
      <c r="G4" s="18">
        <v>2.1973600000000002</v>
      </c>
      <c r="H4" s="7">
        <f t="shared" ref="H4:H13" si="0">F4-G4</f>
        <v>7.8219999999999956E-2</v>
      </c>
      <c r="I4" s="21">
        <v>0.34052316999999999</v>
      </c>
      <c r="J4" s="20">
        <v>0.41412475999999998</v>
      </c>
      <c r="K4" s="15">
        <v>-7.1338470000000003</v>
      </c>
      <c r="L4" s="15">
        <v>-1.24315</v>
      </c>
      <c r="M4" s="15">
        <f t="shared" ref="M4:M13" si="1">L4-K4</f>
        <v>5.8906970000000003</v>
      </c>
      <c r="N4" s="34">
        <v>-6.8843829999999997</v>
      </c>
      <c r="O4" s="34">
        <v>-1.48816959</v>
      </c>
      <c r="P4" s="1">
        <v>5.3962134099999997</v>
      </c>
    </row>
    <row r="5" spans="1:16" x14ac:dyDescent="0.2">
      <c r="A5" s="1" t="s">
        <v>6</v>
      </c>
      <c r="B5" s="16">
        <v>-2682.7791739999998</v>
      </c>
      <c r="C5" s="8">
        <v>-2682.73705139</v>
      </c>
      <c r="E5" s="1" t="s">
        <v>4</v>
      </c>
      <c r="F5" s="19">
        <v>2.2851699999999999</v>
      </c>
      <c r="G5" s="18">
        <v>2.1864599999999998</v>
      </c>
      <c r="H5" s="7">
        <f t="shared" si="0"/>
        <v>9.8710000000000075E-2</v>
      </c>
      <c r="I5" s="20">
        <v>0.3362482</v>
      </c>
      <c r="J5" s="37">
        <v>0.41769334000000002</v>
      </c>
      <c r="K5" s="15">
        <v>-7.1271849999999999</v>
      </c>
      <c r="L5" s="15">
        <v>-1.25179</v>
      </c>
      <c r="M5" s="15">
        <f t="shared" si="1"/>
        <v>5.8753950000000001</v>
      </c>
      <c r="N5" s="34">
        <v>-6.885199329999999</v>
      </c>
      <c r="O5" s="34">
        <v>-1.4957886699999998</v>
      </c>
      <c r="P5" s="1">
        <v>5.3894106599999994</v>
      </c>
    </row>
    <row r="6" spans="1:16" x14ac:dyDescent="0.2">
      <c r="A6" s="1" t="s">
        <v>7</v>
      </c>
      <c r="B6" s="16">
        <v>-2682.7824190000001</v>
      </c>
      <c r="C6" s="8">
        <v>-2682.7421122400001</v>
      </c>
      <c r="E6" s="1" t="s">
        <v>11</v>
      </c>
      <c r="F6" s="18">
        <v>2.3037899999999998</v>
      </c>
      <c r="G6" s="18">
        <v>2.1658200000000001</v>
      </c>
      <c r="H6" s="7">
        <f t="shared" si="0"/>
        <v>0.1379699999999997</v>
      </c>
      <c r="I6" s="20">
        <v>0.32892021999999999</v>
      </c>
      <c r="J6" s="37">
        <v>0.42496682000000002</v>
      </c>
      <c r="K6" s="15">
        <v>-7.1117179999999998</v>
      </c>
      <c r="L6" s="15">
        <v>-1.274027</v>
      </c>
      <c r="M6" s="15">
        <f t="shared" si="1"/>
        <v>5.8376909999999995</v>
      </c>
      <c r="N6" s="34">
        <v>-6.8857435499999999</v>
      </c>
      <c r="O6" s="34">
        <v>-1.5069451799999998</v>
      </c>
      <c r="P6" s="1">
        <v>5.3787983700000002</v>
      </c>
    </row>
    <row r="7" spans="1:16" x14ac:dyDescent="0.2">
      <c r="A7" s="1" t="s">
        <v>8</v>
      </c>
      <c r="B7" s="16">
        <v>-2682.7849890000002</v>
      </c>
      <c r="C7" s="8">
        <v>-2682.7463109400001</v>
      </c>
      <c r="E7" s="1" t="s">
        <v>12</v>
      </c>
      <c r="F7" s="18">
        <v>2.3246099999999998</v>
      </c>
      <c r="G7" s="18">
        <v>2.1437599999999999</v>
      </c>
      <c r="H7" s="7">
        <f t="shared" si="0"/>
        <v>0.18084999999999996</v>
      </c>
      <c r="I7" s="20">
        <v>0.32264356</v>
      </c>
      <c r="J7" s="37">
        <v>0.43338130000000002</v>
      </c>
      <c r="K7" s="15">
        <v>-7.0910260000000003</v>
      </c>
      <c r="L7" s="15">
        <v>-1.305801</v>
      </c>
      <c r="M7" s="15">
        <f t="shared" si="1"/>
        <v>5.7852250000000005</v>
      </c>
      <c r="N7" s="34">
        <v>-6.88601566</v>
      </c>
      <c r="O7" s="34">
        <v>-1.5224554499999998</v>
      </c>
      <c r="P7" s="1">
        <v>5.3635602100000002</v>
      </c>
    </row>
    <row r="8" spans="1:16" x14ac:dyDescent="0.2">
      <c r="A8" s="1" t="s">
        <v>9</v>
      </c>
      <c r="B8" s="12">
        <v>-2682.786877</v>
      </c>
      <c r="C8" s="8">
        <v>-2682.7496453899998</v>
      </c>
      <c r="E8" s="1" t="s">
        <v>13</v>
      </c>
      <c r="F8" s="18">
        <v>2.34849</v>
      </c>
      <c r="G8" s="18">
        <v>2.1199699999999999</v>
      </c>
      <c r="H8" s="7">
        <f t="shared" si="0"/>
        <v>0.22852000000000006</v>
      </c>
      <c r="I8" s="20">
        <v>0.31770778</v>
      </c>
      <c r="J8" s="37">
        <v>0.44317034</v>
      </c>
      <c r="K8" s="15">
        <v>-7.064317</v>
      </c>
      <c r="L8" s="15">
        <v>-1.348471</v>
      </c>
      <c r="M8" s="15">
        <f t="shared" si="1"/>
        <v>5.715846</v>
      </c>
      <c r="N8" s="34">
        <v>-6.8857435499999999</v>
      </c>
      <c r="O8" s="34">
        <v>-1.5428636999999998</v>
      </c>
      <c r="P8" s="1">
        <v>5.3428798500000001</v>
      </c>
    </row>
    <row r="9" spans="1:16" x14ac:dyDescent="0.2">
      <c r="A9" s="1" t="s">
        <v>10</v>
      </c>
      <c r="B9" s="12">
        <v>-2682.7880719999998</v>
      </c>
      <c r="C9" s="8">
        <v>-2682.7520800000002</v>
      </c>
      <c r="E9" s="1" t="s">
        <v>29</v>
      </c>
      <c r="F9" s="18">
        <v>2.3753600000000001</v>
      </c>
      <c r="G9" s="18">
        <v>2.0952600000000001</v>
      </c>
      <c r="H9" s="7">
        <f t="shared" si="0"/>
        <v>0.28010000000000002</v>
      </c>
      <c r="I9" s="20">
        <v>0.31402402000000001</v>
      </c>
      <c r="J9" s="37">
        <v>0.45404340999999998</v>
      </c>
      <c r="K9" s="15">
        <v>-7.031828</v>
      </c>
      <c r="L9" s="15">
        <v>-1.402574</v>
      </c>
      <c r="M9" s="15">
        <f t="shared" si="1"/>
        <v>5.6292539999999995</v>
      </c>
      <c r="N9" s="34">
        <v>-6.885199329999999</v>
      </c>
      <c r="O9" s="34">
        <v>-1.5684420399999999</v>
      </c>
      <c r="P9" s="1">
        <v>5.3167572899999991</v>
      </c>
    </row>
    <row r="10" spans="1:16" x14ac:dyDescent="0.2">
      <c r="A10" s="1" t="s">
        <v>30</v>
      </c>
      <c r="B10" s="12">
        <v>-2682.7883630000001</v>
      </c>
      <c r="C10" s="8">
        <v>-2682.7545258199998</v>
      </c>
      <c r="E10" s="1" t="s">
        <v>15</v>
      </c>
      <c r="F10" s="18">
        <v>2.4054500000000001</v>
      </c>
      <c r="G10" s="18">
        <v>2.0704500000000001</v>
      </c>
      <c r="H10" s="7">
        <f t="shared" si="0"/>
        <v>0.33499999999999996</v>
      </c>
      <c r="I10" s="20">
        <v>0.31099936</v>
      </c>
      <c r="J10" s="37">
        <v>0.46560601000000001</v>
      </c>
      <c r="K10" s="15">
        <v>-6.9942479999999998</v>
      </c>
      <c r="L10" s="15">
        <v>-1.468316</v>
      </c>
      <c r="M10" s="15">
        <f t="shared" si="1"/>
        <v>5.5259320000000001</v>
      </c>
      <c r="N10" s="34">
        <v>-6.8843829999999997</v>
      </c>
      <c r="O10" s="34">
        <v>-1.5989183599999999</v>
      </c>
      <c r="P10" s="1">
        <v>5.2854646399999998</v>
      </c>
    </row>
    <row r="11" spans="1:16" x14ac:dyDescent="0.2">
      <c r="A11" s="1" t="s">
        <v>31</v>
      </c>
      <c r="B11" s="8">
        <v>-2682.7885940000001</v>
      </c>
      <c r="C11" s="8">
        <v>-2682.7546038</v>
      </c>
      <c r="E11" s="1" t="s">
        <v>16</v>
      </c>
      <c r="F11" s="18">
        <v>2.43825</v>
      </c>
      <c r="G11" s="18">
        <v>2.0463100000000001</v>
      </c>
      <c r="H11" s="7">
        <f t="shared" si="0"/>
        <v>0.39193999999999996</v>
      </c>
      <c r="I11" s="20">
        <v>0.30834182999999998</v>
      </c>
      <c r="J11" s="37">
        <v>0.47760318000000002</v>
      </c>
      <c r="K11" s="15">
        <v>-6.95343</v>
      </c>
      <c r="L11" s="15">
        <v>-1.5445979999999999</v>
      </c>
      <c r="M11" s="15">
        <f t="shared" si="1"/>
        <v>5.4088320000000003</v>
      </c>
      <c r="N11" s="34">
        <v>-6.8827503399999994</v>
      </c>
      <c r="O11" s="34">
        <v>-1.6345647699999999</v>
      </c>
      <c r="P11" s="1">
        <v>5.2481855699999995</v>
      </c>
    </row>
    <row r="12" spans="1:16" x14ac:dyDescent="0.2">
      <c r="A12" s="1" t="s">
        <v>4</v>
      </c>
      <c r="B12" s="12">
        <v>-2682.78746</v>
      </c>
      <c r="C12" s="8">
        <v>-2682.7544681899999</v>
      </c>
      <c r="E12" s="1" t="s">
        <v>17</v>
      </c>
      <c r="F12" s="18">
        <v>2.4741300000000002</v>
      </c>
      <c r="G12" s="18">
        <v>2.0232600000000001</v>
      </c>
      <c r="H12" s="7">
        <f t="shared" si="0"/>
        <v>0.4508700000000001</v>
      </c>
      <c r="I12" s="20">
        <v>0.30537718000000003</v>
      </c>
      <c r="J12" s="37">
        <v>0.48960805000000002</v>
      </c>
      <c r="K12" s="15">
        <v>-6.9105129999999999</v>
      </c>
      <c r="L12" s="15">
        <v>-1.630854</v>
      </c>
      <c r="M12" s="15">
        <f t="shared" si="1"/>
        <v>5.2796589999999997</v>
      </c>
      <c r="N12" s="34">
        <v>-6.8803013499999999</v>
      </c>
      <c r="O12" s="34">
        <v>-1.6751091599999999</v>
      </c>
      <c r="P12" s="1">
        <v>5.20519219</v>
      </c>
    </row>
    <row r="13" spans="1:16" x14ac:dyDescent="0.2">
      <c r="A13" s="1" t="s">
        <v>11</v>
      </c>
      <c r="B13" s="12">
        <v>-2682.7858700000002</v>
      </c>
      <c r="C13" s="8">
        <v>-2682.7535734799999</v>
      </c>
      <c r="E13" s="1" t="s">
        <v>18</v>
      </c>
      <c r="F13" s="18">
        <v>2.5119099999999999</v>
      </c>
      <c r="G13" s="18">
        <v>2.0022099999999998</v>
      </c>
      <c r="H13" s="7">
        <f t="shared" si="0"/>
        <v>0.50970000000000004</v>
      </c>
      <c r="I13" s="20">
        <v>0.30220620999999998</v>
      </c>
      <c r="J13" s="37">
        <v>0.50124073000000002</v>
      </c>
      <c r="K13" s="15">
        <v>-6.8684050000000001</v>
      </c>
      <c r="L13" s="15">
        <v>-1.7240230000000001</v>
      </c>
      <c r="M13" s="15">
        <f t="shared" si="1"/>
        <v>5.1443820000000002</v>
      </c>
      <c r="N13" s="34">
        <v>-6.8767639199999993</v>
      </c>
      <c r="O13" s="34">
        <v>-1.7210957499999999</v>
      </c>
      <c r="P13" s="1">
        <v>5.1556681699999993</v>
      </c>
    </row>
    <row r="14" spans="1:16" x14ac:dyDescent="0.2">
      <c r="A14" s="1" t="s">
        <v>12</v>
      </c>
      <c r="B14" s="12">
        <v>-2682.783602</v>
      </c>
      <c r="C14" s="8">
        <v>-2682.7518518100001</v>
      </c>
    </row>
    <row r="15" spans="1:16" x14ac:dyDescent="0.2">
      <c r="A15" s="1" t="s">
        <v>13</v>
      </c>
      <c r="B15" s="12">
        <v>-2682.780667</v>
      </c>
      <c r="C15" s="8">
        <v>-2682.7493098</v>
      </c>
    </row>
    <row r="16" spans="1:16" x14ac:dyDescent="0.2">
      <c r="A16" s="1" t="s">
        <v>14</v>
      </c>
      <c r="B16" s="11">
        <v>-2682.7770500000001</v>
      </c>
      <c r="C16" s="8">
        <v>-2682.7459631900001</v>
      </c>
    </row>
    <row r="17" spans="1:16" x14ac:dyDescent="0.2">
      <c r="A17" s="1" t="s">
        <v>15</v>
      </c>
      <c r="B17" s="12">
        <v>-2682.7727599999998</v>
      </c>
      <c r="C17" s="8">
        <v>-2682.7418330199998</v>
      </c>
    </row>
    <row r="18" spans="1:16" x14ac:dyDescent="0.2">
      <c r="A18" s="1" t="s">
        <v>16</v>
      </c>
      <c r="B18" s="12">
        <v>-2682.7677819999999</v>
      </c>
      <c r="C18" s="8">
        <v>-2682.7369562899999</v>
      </c>
    </row>
    <row r="19" spans="1:16" x14ac:dyDescent="0.2">
      <c r="A19" s="1" t="s">
        <v>17</v>
      </c>
      <c r="B19" s="12">
        <v>-2682.762127</v>
      </c>
      <c r="C19" s="8">
        <v>-2682.7313764199998</v>
      </c>
    </row>
    <row r="20" spans="1:16" x14ac:dyDescent="0.2">
      <c r="A20" s="1" t="s">
        <v>18</v>
      </c>
      <c r="B20" s="12">
        <v>-2682.7558009999998</v>
      </c>
      <c r="C20" s="8">
        <v>-2682.7251464999999</v>
      </c>
    </row>
    <row r="21" spans="1:16" x14ac:dyDescent="0.2">
      <c r="O21" s="4"/>
      <c r="P21" s="4"/>
    </row>
    <row r="22" spans="1:16" x14ac:dyDescent="0.2">
      <c r="G22" s="6"/>
      <c r="N22" s="23"/>
    </row>
    <row r="23" spans="1:16" x14ac:dyDescent="0.2">
      <c r="K23" s="10"/>
      <c r="N23" s="23"/>
      <c r="P23" s="22"/>
    </row>
    <row r="24" spans="1:16" x14ac:dyDescent="0.2">
      <c r="K24" s="10"/>
      <c r="N24" s="23"/>
      <c r="P24" s="22"/>
    </row>
    <row r="25" spans="1:16" ht="15" x14ac:dyDescent="0.25">
      <c r="A25" s="43"/>
      <c r="B25" s="48" t="s">
        <v>44</v>
      </c>
      <c r="C25" s="49"/>
      <c r="D25" s="46" t="s">
        <v>43</v>
      </c>
      <c r="E25" s="47"/>
      <c r="F25" s="27"/>
      <c r="G25" s="26"/>
      <c r="H25" s="30"/>
      <c r="I25" s="26"/>
      <c r="J25" s="27"/>
      <c r="K25" s="26"/>
      <c r="L25" s="27"/>
      <c r="M25" s="26"/>
      <c r="N25" s="9"/>
      <c r="P25" s="22"/>
    </row>
    <row r="26" spans="1:16" ht="15" x14ac:dyDescent="0.2">
      <c r="A26" s="17" t="s">
        <v>3</v>
      </c>
      <c r="B26" s="54" t="s">
        <v>1</v>
      </c>
      <c r="C26" s="53" t="s">
        <v>32</v>
      </c>
      <c r="D26" s="24" t="s">
        <v>1</v>
      </c>
      <c r="E26" s="24" t="s">
        <v>32</v>
      </c>
      <c r="G26" s="22"/>
      <c r="H26" s="3"/>
      <c r="O26" s="5"/>
      <c r="P26" s="5"/>
    </row>
    <row r="27" spans="1:16" ht="15" x14ac:dyDescent="0.2">
      <c r="A27" s="1" t="s">
        <v>23</v>
      </c>
      <c r="B27" s="23">
        <v>0</v>
      </c>
      <c r="C27" s="50">
        <v>0</v>
      </c>
      <c r="D27" s="51">
        <v>0</v>
      </c>
      <c r="E27" s="52">
        <v>0</v>
      </c>
      <c r="G27" s="22"/>
      <c r="H27" s="35"/>
      <c r="O27" s="36"/>
      <c r="P27" s="36"/>
    </row>
    <row r="28" spans="1:16" x14ac:dyDescent="0.2">
      <c r="A28" s="1">
        <v>190</v>
      </c>
      <c r="B28" s="44">
        <v>-0.79497211155378655</v>
      </c>
      <c r="C28" s="45">
        <v>3.7722891117973885</v>
      </c>
      <c r="D28" s="28">
        <v>-0.25104382470119729</v>
      </c>
      <c r="E28" s="29">
        <v>0.60708788007680248</v>
      </c>
      <c r="G28" s="22"/>
      <c r="H28" s="3"/>
    </row>
    <row r="29" spans="1:16" x14ac:dyDescent="0.2">
      <c r="A29" s="1">
        <v>200</v>
      </c>
      <c r="B29" s="44">
        <v>-1.6736254980079697</v>
      </c>
      <c r="C29" s="45">
        <v>14.780121498347546</v>
      </c>
      <c r="D29" s="28">
        <v>-0.96233466135458345</v>
      </c>
      <c r="E29" s="29">
        <v>8.1876844062990095</v>
      </c>
      <c r="G29" s="22"/>
      <c r="H29" s="3"/>
    </row>
    <row r="30" spans="1:16" x14ac:dyDescent="0.2">
      <c r="A30" s="1">
        <v>210</v>
      </c>
      <c r="B30" s="44">
        <v>-2.5941195219123507</v>
      </c>
      <c r="C30" s="45">
        <v>32.902891521802168</v>
      </c>
      <c r="D30" s="28">
        <v>-1.3389003984063756</v>
      </c>
      <c r="E30" s="29">
        <v>24.024821953221114</v>
      </c>
      <c r="G30" s="22"/>
      <c r="H30" s="3"/>
    </row>
    <row r="31" spans="1:16" x14ac:dyDescent="0.2">
      <c r="A31" s="1">
        <v>220</v>
      </c>
      <c r="B31" s="44">
        <v>-3.2635697211155388</v>
      </c>
      <c r="C31" s="45">
        <v>57.905475721654931</v>
      </c>
      <c r="D31" s="28">
        <v>-1.2552191235059791</v>
      </c>
      <c r="E31" s="29">
        <v>47.588756628999704</v>
      </c>
      <c r="G31" s="22"/>
      <c r="H31" s="3"/>
    </row>
    <row r="32" spans="1:16" x14ac:dyDescent="0.2">
      <c r="A32" s="1">
        <v>230</v>
      </c>
      <c r="B32" s="44">
        <v>-3.3054103585657368</v>
      </c>
      <c r="C32" s="45">
        <v>89.403431859381513</v>
      </c>
      <c r="D32" s="28">
        <v>-0.92049402390438517</v>
      </c>
      <c r="E32" s="29">
        <v>78.260635174176684</v>
      </c>
      <c r="F32" s="1" t="s">
        <v>26</v>
      </c>
      <c r="G32" s="22"/>
      <c r="H32" s="3"/>
    </row>
    <row r="33" spans="1:14" x14ac:dyDescent="0.2"/>
    <row r="34" spans="1:14" x14ac:dyDescent="0.2"/>
    <row r="35" spans="1:14" x14ac:dyDescent="0.2">
      <c r="A35" s="40" t="s">
        <v>38</v>
      </c>
      <c r="B35" s="42" t="s">
        <v>35</v>
      </c>
      <c r="C35" s="10" t="s">
        <v>32</v>
      </c>
      <c r="D35" s="31" t="s">
        <v>42</v>
      </c>
      <c r="G35" s="38"/>
      <c r="H35" s="39"/>
      <c r="I35" s="38"/>
      <c r="J35" s="39"/>
      <c r="K35" s="38"/>
      <c r="L35" s="39"/>
    </row>
    <row r="36" spans="1:14" x14ac:dyDescent="0.2">
      <c r="A36" s="41"/>
      <c r="B36" s="1" t="s">
        <v>37</v>
      </c>
      <c r="K36" s="32"/>
      <c r="L36" s="31"/>
    </row>
    <row r="37" spans="1:14" x14ac:dyDescent="0.2">
      <c r="A37" s="1" t="s">
        <v>34</v>
      </c>
      <c r="B37" s="1">
        <v>2.6124660000000001E-2</v>
      </c>
      <c r="C37" s="1">
        <v>4.185564E-2</v>
      </c>
      <c r="D37" s="31">
        <f>B37-C37</f>
        <v>-1.5730979999999999E-2</v>
      </c>
      <c r="G37" s="33"/>
      <c r="H37" s="33"/>
      <c r="I37" s="33"/>
      <c r="J37" s="33"/>
      <c r="K37" s="33"/>
      <c r="L37" s="33"/>
      <c r="M37" s="33"/>
      <c r="N37" s="33"/>
    </row>
    <row r="38" spans="1:14" x14ac:dyDescent="0.2">
      <c r="A38" s="1">
        <v>190</v>
      </c>
      <c r="B38" s="1">
        <v>2.7982300000000002E-2</v>
      </c>
      <c r="C38" s="1">
        <v>4.0290259999999467E-2</v>
      </c>
      <c r="D38" s="31">
        <f>B38-C38</f>
        <v>-1.2307959999999465E-2</v>
      </c>
      <c r="G38" s="33"/>
      <c r="H38" s="33"/>
      <c r="I38" s="33"/>
      <c r="J38" s="33"/>
      <c r="K38" s="33"/>
      <c r="L38" s="33"/>
      <c r="M38" s="33"/>
      <c r="N38" s="33"/>
    </row>
    <row r="39" spans="1:14" x14ac:dyDescent="0.2">
      <c r="A39" s="1">
        <v>200</v>
      </c>
      <c r="B39" s="1">
        <v>3.4932409999999997E-2</v>
      </c>
      <c r="C39" s="1">
        <v>3.7287609999999999E-2</v>
      </c>
      <c r="D39" s="31">
        <f>B39-C39</f>
        <v>-2.3552000000000017E-3</v>
      </c>
      <c r="G39" s="33"/>
      <c r="H39" s="33"/>
      <c r="I39" s="33"/>
      <c r="J39" s="33"/>
      <c r="K39" s="33"/>
      <c r="L39" s="33"/>
      <c r="M39" s="33"/>
      <c r="N39" s="33"/>
    </row>
    <row r="40" spans="1:14" x14ac:dyDescent="0.2">
      <c r="A40" s="1">
        <v>210</v>
      </c>
      <c r="B40" s="1">
        <v>3.999979E-2</v>
      </c>
      <c r="C40" s="1">
        <v>3.2320660000000001E-2</v>
      </c>
      <c r="D40" s="31">
        <f>B40-C40</f>
        <v>7.6791299999999993E-3</v>
      </c>
      <c r="G40" s="33"/>
      <c r="H40" s="33"/>
      <c r="I40" s="33"/>
      <c r="J40" s="33"/>
      <c r="K40" s="33"/>
      <c r="L40" s="33"/>
      <c r="M40" s="33"/>
      <c r="N40" s="33"/>
    </row>
    <row r="41" spans="1:14" ht="15" customHeight="1" x14ac:dyDescent="0.2">
      <c r="A41" s="1">
        <v>220</v>
      </c>
      <c r="B41" s="1">
        <v>4.106684E-2</v>
      </c>
      <c r="C41" s="1">
        <v>2.643531E-2</v>
      </c>
      <c r="D41" s="31">
        <f>B41-C41</f>
        <v>1.463153E-2</v>
      </c>
      <c r="G41" s="33"/>
      <c r="H41" s="33"/>
      <c r="I41" s="33"/>
      <c r="J41" s="33"/>
      <c r="K41" s="33"/>
      <c r="L41" s="33"/>
      <c r="M41" s="33"/>
      <c r="N41" s="33"/>
    </row>
    <row r="42" spans="1:14" x14ac:dyDescent="0.2">
      <c r="A42" s="1">
        <v>230</v>
      </c>
      <c r="B42" s="1">
        <v>3.8059660000000002E-2</v>
      </c>
      <c r="C42" s="1">
        <v>1.9891030000000001E-2</v>
      </c>
      <c r="D42" s="31">
        <f>B42-C42</f>
        <v>1.8168630000000002E-2</v>
      </c>
      <c r="G42" s="33"/>
      <c r="H42" s="33"/>
      <c r="I42" s="33"/>
      <c r="J42" s="33"/>
      <c r="K42" s="33"/>
      <c r="L42" s="33"/>
      <c r="M42" s="33"/>
      <c r="N42" s="33"/>
    </row>
    <row r="43" spans="1:14" x14ac:dyDescent="0.2"/>
    <row r="44" spans="1:14" x14ac:dyDescent="0.2"/>
    <row r="45" spans="1:14" ht="15" customHeight="1" x14ac:dyDescent="0.2">
      <c r="A45" s="1" t="s">
        <v>36</v>
      </c>
      <c r="B45" s="1" t="s">
        <v>32</v>
      </c>
      <c r="C45" s="1" t="s">
        <v>1</v>
      </c>
      <c r="G45" s="25"/>
      <c r="H45" s="25"/>
      <c r="I45" s="25"/>
      <c r="J45" s="25"/>
      <c r="K45" s="25"/>
      <c r="L45" s="25"/>
    </row>
    <row r="46" spans="1:14" x14ac:dyDescent="0.2">
      <c r="A46" s="1">
        <v>190</v>
      </c>
      <c r="B46" s="1">
        <v>8.4130335859299799E-2</v>
      </c>
      <c r="C46" s="1">
        <v>8.5938558124469301E-3</v>
      </c>
    </row>
    <row r="47" spans="1:14" x14ac:dyDescent="0.2">
      <c r="A47" s="1">
        <v>200</v>
      </c>
      <c r="B47" s="1">
        <v>0.123251793057456</v>
      </c>
      <c r="C47" s="1">
        <v>3.7748732239655199E-2</v>
      </c>
      <c r="G47" s="31"/>
      <c r="H47" s="31"/>
      <c r="I47" s="31"/>
      <c r="J47" s="31"/>
      <c r="K47" s="31"/>
      <c r="L47" s="31"/>
    </row>
    <row r="48" spans="1:14" x14ac:dyDescent="0.2">
      <c r="A48" s="1">
        <v>210</v>
      </c>
      <c r="B48" s="1">
        <v>0.185001087206173</v>
      </c>
      <c r="C48" s="1">
        <v>6.5234260697942095E-2</v>
      </c>
      <c r="G48" s="31"/>
      <c r="H48" s="31"/>
      <c r="I48" s="31"/>
      <c r="J48" s="31"/>
      <c r="K48" s="31"/>
      <c r="L48" s="31"/>
    </row>
    <row r="49" spans="1:3" x14ac:dyDescent="0.2">
      <c r="A49" s="1">
        <v>220</v>
      </c>
      <c r="B49" s="1">
        <v>0.24046826774926899</v>
      </c>
      <c r="C49" s="1">
        <v>9.3301034764644394E-2</v>
      </c>
    </row>
    <row r="50" spans="1:3" ht="15" customHeight="1" x14ac:dyDescent="0.2">
      <c r="A50" s="1">
        <v>230</v>
      </c>
      <c r="B50" s="1">
        <v>0.30234872608246499</v>
      </c>
      <c r="C50" s="1">
        <v>0.119525286305384</v>
      </c>
    </row>
    <row r="51" spans="1:3" x14ac:dyDescent="0.2"/>
    <row r="52" spans="1:3" ht="15" customHeight="1" x14ac:dyDescent="0.2"/>
    <row r="53" spans="1:3" ht="15" customHeight="1" x14ac:dyDescent="0.2"/>
    <row r="54" spans="1:3" ht="15" customHeight="1" x14ac:dyDescent="0.2"/>
    <row r="55" spans="1:3" ht="15" customHeight="1" x14ac:dyDescent="0.2"/>
    <row r="56" spans="1:3" ht="15" customHeight="1" x14ac:dyDescent="0.2"/>
    <row r="57" spans="1:3" ht="15" customHeight="1" x14ac:dyDescent="0.2"/>
    <row r="58" spans="1:3" ht="15" customHeight="1" x14ac:dyDescent="0.2"/>
    <row r="59" spans="1:3" ht="15" customHeight="1" x14ac:dyDescent="0.2"/>
    <row r="60" spans="1:3" ht="15" customHeight="1" x14ac:dyDescent="0.2"/>
    <row r="61" spans="1:3" ht="15" customHeight="1" x14ac:dyDescent="0.2"/>
    <row r="62" spans="1:3" ht="15" customHeight="1" x14ac:dyDescent="0.2"/>
    <row r="63" spans="1:3" ht="15" customHeight="1" x14ac:dyDescent="0.2"/>
    <row r="64" spans="1:3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206" x14ac:dyDescent="0.2"/>
    <row r="207" x14ac:dyDescent="0.2"/>
    <row r="208" x14ac:dyDescent="0.2"/>
    <row r="209" x14ac:dyDescent="0.2"/>
  </sheetData>
  <mergeCells count="9">
    <mergeCell ref="B25:C25"/>
    <mergeCell ref="D25:E25"/>
    <mergeCell ref="G35:H35"/>
    <mergeCell ref="I35:J35"/>
    <mergeCell ref="K35:L35"/>
    <mergeCell ref="A35:A36"/>
    <mergeCell ref="F1:G1"/>
    <mergeCell ref="I1:J1"/>
    <mergeCell ref="F2:G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 伟杰</dc:creator>
  <cp:lastModifiedBy>伟杰 黄</cp:lastModifiedBy>
  <dcterms:created xsi:type="dcterms:W3CDTF">2024-03-27T05:48:40Z</dcterms:created>
  <dcterms:modified xsi:type="dcterms:W3CDTF">2026-04-20T14:05:32Z</dcterms:modified>
</cp:coreProperties>
</file>